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rin\Proton Drive\darindavis\My files\Python\Projects\tradovate_orders_filled_from_tv\"/>
    </mc:Choice>
  </mc:AlternateContent>
  <xr:revisionPtr revIDLastSave="0" documentId="13_ncr:1_{E2EF186A-19A1-419C-91C4-4A7E9774770D}" xr6:coauthVersionLast="47" xr6:coauthVersionMax="47" xr10:uidLastSave="{00000000-0000-0000-0000-000000000000}"/>
  <bookViews>
    <workbookView xWindow="28950" yWindow="-14880" windowWidth="13800" windowHeight="13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  <c r="D7" i="1"/>
  <c r="D6" i="1"/>
  <c r="D5" i="1"/>
  <c r="D4" i="1"/>
  <c r="D3" i="1"/>
  <c r="D2" i="1"/>
  <c r="D8" i="1"/>
  <c r="F8" i="1" s="1"/>
  <c r="G8" i="1" l="1"/>
  <c r="G5" i="1"/>
  <c r="G4" i="1"/>
  <c r="G3" i="1"/>
  <c r="G6" i="1"/>
  <c r="G7" i="1"/>
  <c r="G2" i="1"/>
</calcChain>
</file>

<file path=xl/sharedStrings.xml><?xml version="1.0" encoding="utf-8"?>
<sst xmlns="http://schemas.openxmlformats.org/spreadsheetml/2006/main" count="14" uniqueCount="13">
  <si>
    <t>Ticker</t>
  </si>
  <si>
    <t>Day Margin</t>
  </si>
  <si>
    <t>ES</t>
  </si>
  <si>
    <t>NQ</t>
  </si>
  <si>
    <t>RTY</t>
  </si>
  <si>
    <t>YM</t>
  </si>
  <si>
    <t>CL</t>
  </si>
  <si>
    <t>GC</t>
  </si>
  <si>
    <t>PnL</t>
  </si>
  <si>
    <t>% Return</t>
  </si>
  <si>
    <t>% Return Micro</t>
  </si>
  <si>
    <t># Contracts</t>
  </si>
  <si>
    <t>Total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</si>
</sst>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3" sqref="F3"/>
    </sheetView>
  </sheetViews>
  <sheetFormatPr defaultRowHeight="14.25" x14ac:dyDescent="0.45"/>
  <cols>
    <col min="1" max="1" width="5.796875" bestFit="1" customWidth="1"/>
    <col min="2" max="2" width="10.06640625" bestFit="1" customWidth="1"/>
    <col min="3" max="3" width="10.06640625" customWidth="1"/>
    <col min="4" max="4" width="11.1328125" bestFit="1" customWidth="1"/>
    <col min="5" max="5" width="4.33203125" bestFit="1" customWidth="1"/>
    <col min="6" max="6" width="8.33203125" bestFit="1" customWidth="1"/>
    <col min="7" max="7" width="13.53125" bestFit="1" customWidth="1"/>
  </cols>
  <sheetData>
    <row r="1" spans="1:7" x14ac:dyDescent="0.45">
      <c r="A1" t="s">
        <v>0</v>
      </c>
      <c r="B1" t="s">
        <v>1</v>
      </c>
      <c r="C1" t="s">
        <v>11</v>
      </c>
      <c r="D1" t="s">
        <v>12</v>
      </c>
      <c r="E1" t="s">
        <v>8</v>
      </c>
      <c r="F1" t="s">
        <v>9</v>
      </c>
      <c r="G1" t="s">
        <v>10</v>
      </c>
    </row>
    <row r="2" spans="1:7" x14ac:dyDescent="0.45">
      <c r="A2" t="s">
        <v>2</v>
      </c>
      <c r="B2">
        <v>500</v>
      </c>
      <c r="C2">
        <v>1</v>
      </c>
      <c r="D2">
        <f t="shared" ref="D2:D7" si="0">B2*C2</f>
        <v>500</v>
      </c>
      <c r="E2">
        <v>100</v>
      </c>
      <c r="F2">
        <f t="shared" ref="F2:F7" si="1">E2/D2</f>
        <v>0.2</v>
      </c>
      <c r="G2">
        <f>F2/10</f>
        <v>0.02</v>
      </c>
    </row>
    <row r="3" spans="1:7" x14ac:dyDescent="0.45">
      <c r="A3" t="s">
        <v>3</v>
      </c>
      <c r="B3">
        <v>1000</v>
      </c>
      <c r="C3">
        <v>4</v>
      </c>
      <c r="D3">
        <f t="shared" si="0"/>
        <v>4000</v>
      </c>
      <c r="E3">
        <v>109.5</v>
      </c>
      <c r="F3">
        <f t="shared" si="1"/>
        <v>2.7375E-2</v>
      </c>
      <c r="G3">
        <f>F3/10</f>
        <v>2.7374999999999999E-3</v>
      </c>
    </row>
    <row r="4" spans="1:7" x14ac:dyDescent="0.45">
      <c r="A4" t="s">
        <v>4</v>
      </c>
      <c r="B4">
        <v>500</v>
      </c>
      <c r="C4">
        <v>1</v>
      </c>
      <c r="D4">
        <f t="shared" si="0"/>
        <v>500</v>
      </c>
      <c r="E4">
        <v>100</v>
      </c>
      <c r="F4">
        <f t="shared" si="1"/>
        <v>0.2</v>
      </c>
      <c r="G4">
        <f t="shared" ref="G4:G8" si="2">F4/10</f>
        <v>0.02</v>
      </c>
    </row>
    <row r="5" spans="1:7" x14ac:dyDescent="0.45">
      <c r="A5" t="s">
        <v>5</v>
      </c>
      <c r="B5">
        <v>500</v>
      </c>
      <c r="C5">
        <v>1</v>
      </c>
      <c r="D5">
        <f t="shared" si="0"/>
        <v>500</v>
      </c>
      <c r="E5">
        <v>100</v>
      </c>
      <c r="F5">
        <f t="shared" si="1"/>
        <v>0.2</v>
      </c>
      <c r="G5">
        <f t="shared" si="2"/>
        <v>0.02</v>
      </c>
    </row>
    <row r="6" spans="1:7" x14ac:dyDescent="0.45">
      <c r="A6" t="s">
        <v>6</v>
      </c>
      <c r="B6">
        <v>1000</v>
      </c>
      <c r="C6">
        <v>1</v>
      </c>
      <c r="D6">
        <f t="shared" si="0"/>
        <v>1000</v>
      </c>
      <c r="E6">
        <v>100</v>
      </c>
      <c r="F6">
        <f t="shared" si="1"/>
        <v>0.1</v>
      </c>
      <c r="G6">
        <f t="shared" si="2"/>
        <v>0.01</v>
      </c>
    </row>
    <row r="7" spans="1:7" x14ac:dyDescent="0.45">
      <c r="A7" t="s">
        <v>7</v>
      </c>
      <c r="B7">
        <v>2000</v>
      </c>
      <c r="C7">
        <v>1</v>
      </c>
      <c r="D7">
        <f t="shared" si="0"/>
        <v>2000</v>
      </c>
      <c r="E7">
        <v>100</v>
      </c>
      <c r="F7">
        <f t="shared" si="1"/>
        <v>0.05</v>
      </c>
      <c r="G7">
        <f t="shared" si="2"/>
        <v>5.0000000000000001E-3</v>
      </c>
    </row>
    <row r="8" spans="1:7" x14ac:dyDescent="0.45">
      <c r="A8" t="s">
        <v>7</v>
      </c>
      <c r="B8">
        <v>2000</v>
      </c>
      <c r="C8">
        <v>10</v>
      </c>
      <c r="D8">
        <f>B8*C8</f>
        <v>20000</v>
      </c>
      <c r="E8">
        <v>-611</v>
      </c>
      <c r="F8">
        <f>E8/D8</f>
        <v>-3.0550000000000001E-2</v>
      </c>
      <c r="G8">
        <f t="shared" si="2"/>
        <v>-3.055E-3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 Davis</dc:creator>
  <cp:lastModifiedBy>Darin Davis</cp:lastModifiedBy>
  <dcterms:created xsi:type="dcterms:W3CDTF">2015-06-05T18:17:20Z</dcterms:created>
  <dcterms:modified xsi:type="dcterms:W3CDTF">2026-06-04T03:10:31Z</dcterms:modified>
</cp:coreProperties>
</file>